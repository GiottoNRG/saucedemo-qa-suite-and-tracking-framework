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Bug Tracker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3" fillId="2" borderId="0" pivotButton="0" quotePrefix="0" xfId="0"/>
    <xf numFmtId="0" fontId="5" fillId="4" borderId="1" pivotButton="0" quotePrefix="0" xfId="0"/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155724"/>
      </font>
      <fill>
        <patternFill patternType="solid">
          <fgColor rgb="00D4EDDA"/>
          <bgColor rgb="00D4EDDA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ont>
        <b val="1"/>
        <color rgb="00856404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Resultados de Pruebas</a:t>
            </a:r>
          </a:p>
        </rich>
      </tx>
    </title>
    <plotArea>
      <pieChart>
        <varyColors val="1"/>
        <ser>
          <idx val="0"/>
          <order val="0"/>
          <tx>
            <strRef>
              <f>'Dashboard'!E5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'Dashboard'!$D$6:$D$8</f>
            </numRef>
          </cat>
          <val>
            <numRef>
              <f>'Dashboard'!$E$6:$E$8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32" customWidth="1" min="4" max="4"/>
    <col width="38" customWidth="1" min="5" max="5"/>
    <col width="38" customWidth="1" min="6" max="6"/>
    <col width="12" customWidth="1" min="7" max="7"/>
    <col width="17" customWidth="1" min="8" max="8"/>
    <col width="14" customWidth="1" min="9" max="9"/>
  </cols>
  <sheetData>
    <row r="1">
      <c r="A1" s="1" t="inlineStr">
        <is>
          <t>SUITE DE PRUEBAS QA - SWAG LABS (SAUCEDEMO)</t>
        </is>
      </c>
    </row>
    <row r="2">
      <c r="A2" s="2" t="inlineStr">
        <is>
          <t>Matriz de trazabilidad y ejecución de pruebas de software</t>
        </is>
      </c>
    </row>
    <row r="3"/>
    <row r="4">
      <c r="A4" s="3" t="inlineStr">
        <is>
          <t>ID Caso</t>
        </is>
      </c>
      <c r="B4" s="3" t="inlineStr">
        <is>
          <t>Módulo</t>
        </is>
      </c>
      <c r="C4" s="3" t="inlineStr">
        <is>
          <t>Título de la Prueba</t>
        </is>
      </c>
      <c r="D4" s="3" t="inlineStr">
        <is>
          <t>Precondiciones</t>
        </is>
      </c>
      <c r="E4" s="3" t="inlineStr">
        <is>
          <t>Pasos de Ejecución</t>
        </is>
      </c>
      <c r="F4" s="3" t="inlineStr">
        <is>
          <t>Resultado Esperado</t>
        </is>
      </c>
      <c r="G4" s="3" t="inlineStr">
        <is>
          <t>Estado</t>
        </is>
      </c>
      <c r="H4" s="3" t="inlineStr">
        <is>
          <t>Ejecutado Por</t>
        </is>
      </c>
      <c r="I4" s="3" t="inlineStr">
        <is>
          <t>Fecha</t>
        </is>
      </c>
    </row>
    <row r="5">
      <c r="A5" s="4" t="inlineStr">
        <is>
          <t>TC-001</t>
        </is>
      </c>
      <c r="B5" s="4" t="inlineStr">
        <is>
          <t>Autenticación</t>
        </is>
      </c>
      <c r="C5" s="5" t="inlineStr">
        <is>
          <t>Login exitoso con usuario estándar</t>
        </is>
      </c>
      <c r="D5" s="5" t="inlineStr">
        <is>
          <t>Navegador abierto en /</t>
        </is>
      </c>
      <c r="E5" s="5" t="inlineStr">
        <is>
          <t>1. Ingresar 'standard_user'
2. Ingresar 'secret_sauce'
3. Clic en Login</t>
        </is>
      </c>
      <c r="F5" s="5" t="inlineStr">
        <is>
          <t>Redirección a /inventory.html y catálogo visible</t>
        </is>
      </c>
      <c r="G5" s="4" t="inlineStr">
        <is>
          <t>PASSED</t>
        </is>
      </c>
      <c r="H5" s="4" t="inlineStr">
        <is>
          <t>QA Automation</t>
        </is>
      </c>
      <c r="I5" s="4" t="inlineStr">
        <is>
          <t>2026-09-21</t>
        </is>
      </c>
    </row>
    <row r="6">
      <c r="A6" s="6" t="inlineStr">
        <is>
          <t>TC-002</t>
        </is>
      </c>
      <c r="B6" s="6" t="inlineStr">
        <is>
          <t>Autenticación</t>
        </is>
      </c>
      <c r="C6" s="7" t="inlineStr">
        <is>
          <t>Login fallido con usuario bloqueado</t>
        </is>
      </c>
      <c r="D6" s="7" t="inlineStr">
        <is>
          <t>Navegador abierto en /</t>
        </is>
      </c>
      <c r="E6" s="7" t="inlineStr">
        <is>
          <t>1. Ingresar 'locked_out_user'
2. Ingresar 'secret_sauce'
3. Clic en Login</t>
        </is>
      </c>
      <c r="F6" s="7" t="inlineStr">
        <is>
          <t>Mensaje de error: 'Epic sadface: Sorry, this user has been locked out.'</t>
        </is>
      </c>
      <c r="G6" s="6" t="inlineStr">
        <is>
          <t>PASSED</t>
        </is>
      </c>
      <c r="H6" s="6" t="inlineStr">
        <is>
          <t>QA Automation</t>
        </is>
      </c>
      <c r="I6" s="6" t="inlineStr">
        <is>
          <t>2026-09-21</t>
        </is>
      </c>
    </row>
    <row r="7">
      <c r="A7" s="4" t="inlineStr">
        <is>
          <t>TC-003</t>
        </is>
      </c>
      <c r="B7" s="4" t="inlineStr">
        <is>
          <t>Autenticación</t>
        </is>
      </c>
      <c r="C7" s="5" t="inlineStr">
        <is>
          <t>Login con campos vacíos</t>
        </is>
      </c>
      <c r="D7" s="5" t="inlineStr">
        <is>
          <t>Navegador abierto en /</t>
        </is>
      </c>
      <c r="E7" s="5" t="inlineStr">
        <is>
          <t>1. Dejar campos vacíos
2. Clic en Login</t>
        </is>
      </c>
      <c r="F7" s="5" t="inlineStr">
        <is>
          <t>Mensaje de error: 'Username is required'</t>
        </is>
      </c>
      <c r="G7" s="4" t="inlineStr">
        <is>
          <t>PASSED</t>
        </is>
      </c>
      <c r="H7" s="4" t="inlineStr">
        <is>
          <t>QA Automation</t>
        </is>
      </c>
      <c r="I7" s="4" t="inlineStr">
        <is>
          <t>2026-09-21</t>
        </is>
      </c>
    </row>
    <row r="8">
      <c r="A8" s="6" t="inlineStr">
        <is>
          <t>TC-004</t>
        </is>
      </c>
      <c r="B8" s="6" t="inlineStr">
        <is>
          <t>Inventario</t>
        </is>
      </c>
      <c r="C8" s="7" t="inlineStr">
        <is>
          <t>Agregar producto al carrito</t>
        </is>
      </c>
      <c r="D8" s="7" t="inlineStr">
        <is>
          <t>Usuario autenticado</t>
        </is>
      </c>
      <c r="E8" s="7" t="inlineStr">
        <is>
          <t>1. Clic en 'Add to cart' en Sauce Labs Backpack</t>
        </is>
      </c>
      <c r="F8" s="7" t="inlineStr">
        <is>
          <t>El botón cambia a 'Remove' y el contador del carrito muestra '1'</t>
        </is>
      </c>
      <c r="G8" s="6" t="inlineStr">
        <is>
          <t>PASSED</t>
        </is>
      </c>
      <c r="H8" s="6" t="inlineStr">
        <is>
          <t>QA Automation</t>
        </is>
      </c>
      <c r="I8" s="6" t="inlineStr">
        <is>
          <t>2026-09-21</t>
        </is>
      </c>
    </row>
    <row r="9">
      <c r="A9" s="4" t="inlineStr">
        <is>
          <t>TC-005</t>
        </is>
      </c>
      <c r="B9" s="4" t="inlineStr">
        <is>
          <t>Inventario</t>
        </is>
      </c>
      <c r="C9" s="5" t="inlineStr">
        <is>
          <t>Remover producto del carrito</t>
        </is>
      </c>
      <c r="D9" s="5" t="inlineStr">
        <is>
          <t>Producto agregado al carrito</t>
        </is>
      </c>
      <c r="E9" s="5" t="inlineStr">
        <is>
          <t>1. Clic en 'Remove' en Sauce Labs Backpack</t>
        </is>
      </c>
      <c r="F9" s="5" t="inlineStr">
        <is>
          <t>El botón cambia a 'Add to cart' y el contador se limpia</t>
        </is>
      </c>
      <c r="G9" s="4" t="inlineStr">
        <is>
          <t>PASSED</t>
        </is>
      </c>
      <c r="H9" s="4" t="inlineStr">
        <is>
          <t>QA Automation</t>
        </is>
      </c>
      <c r="I9" s="4" t="inlineStr">
        <is>
          <t>2026-09-21</t>
        </is>
      </c>
    </row>
    <row r="10">
      <c r="A10" s="6" t="inlineStr">
        <is>
          <t>TC-006</t>
        </is>
      </c>
      <c r="B10" s="6" t="inlineStr">
        <is>
          <t>Inventario</t>
        </is>
      </c>
      <c r="C10" s="7" t="inlineStr">
        <is>
          <t>Filtrar productos de Z a A</t>
        </is>
      </c>
      <c r="D10" s="7" t="inlineStr">
        <is>
          <t>Usuario en /inventory.html</t>
        </is>
      </c>
      <c r="E10" s="7" t="inlineStr">
        <is>
          <t>1. Clic en dropdown de ordenamiento
2. Seleccionar 'Name (Z to A)'</t>
        </is>
      </c>
      <c r="F10" s="7" t="inlineStr">
        <is>
          <t>Productos ordenados alfabéticamente de forma descendente</t>
        </is>
      </c>
      <c r="G10" s="6" t="inlineStr">
        <is>
          <t>PASSED</t>
        </is>
      </c>
      <c r="H10" s="6" t="inlineStr">
        <is>
          <t>QA Automation</t>
        </is>
      </c>
      <c r="I10" s="6" t="inlineStr">
        <is>
          <t>2026-09-21</t>
        </is>
      </c>
    </row>
    <row r="11">
      <c r="A11" s="4" t="inlineStr">
        <is>
          <t>TC-007</t>
        </is>
      </c>
      <c r="B11" s="4" t="inlineStr">
        <is>
          <t>Carrito</t>
        </is>
      </c>
      <c r="C11" s="5" t="inlineStr">
        <is>
          <t>Validar ítems persistentes en carrito</t>
        </is>
      </c>
      <c r="D11" s="5" t="inlineStr">
        <is>
          <t>Ítem agregado al carrito</t>
        </is>
      </c>
      <c r="E11" s="5" t="inlineStr">
        <is>
          <t>1. Ir a /cart.html
2. Verificar ítem presente</t>
        </is>
      </c>
      <c r="F11" s="5" t="inlineStr">
        <is>
          <t>Muestra nombre, cantidad (1) y precio correcto ($29.99)</t>
        </is>
      </c>
      <c r="G11" s="4" t="inlineStr">
        <is>
          <t>PASSED</t>
        </is>
      </c>
      <c r="H11" s="4" t="inlineStr">
        <is>
          <t>QA Automation</t>
        </is>
      </c>
      <c r="I11" s="4" t="inlineStr">
        <is>
          <t>2026-09-21</t>
        </is>
      </c>
    </row>
    <row r="12">
      <c r="A12" s="6" t="inlineStr">
        <is>
          <t>TC-008</t>
        </is>
      </c>
      <c r="B12" s="6" t="inlineStr">
        <is>
          <t>Checkout</t>
        </is>
      </c>
      <c r="C12" s="7" t="inlineStr">
        <is>
          <t>Flujo completo de compra (Happy Path)</t>
        </is>
      </c>
      <c r="D12" s="7" t="inlineStr">
        <is>
          <t>Ítem en carrito</t>
        </is>
      </c>
      <c r="E12" s="7" t="inlineStr">
        <is>
          <t>1. Clic Checkout
2. Llenar datos envío
3. Clic Continue -&gt; Finish</t>
        </is>
      </c>
      <c r="F12" s="7" t="inlineStr">
        <is>
          <t>Mensaje de confirmación: 'Thank you for your order!'</t>
        </is>
      </c>
      <c r="G12" s="6" t="inlineStr">
        <is>
          <t>PASSED</t>
        </is>
      </c>
      <c r="H12" s="6" t="inlineStr">
        <is>
          <t>QA Automation</t>
        </is>
      </c>
      <c r="I12" s="6" t="inlineStr">
        <is>
          <t>2026-09-21</t>
        </is>
      </c>
    </row>
    <row r="13">
      <c r="A13" s="4" t="inlineStr">
        <is>
          <t>TC-009</t>
        </is>
      </c>
      <c r="B13" s="4" t="inlineStr">
        <is>
          <t>Checkout</t>
        </is>
      </c>
      <c r="C13" s="5" t="inlineStr">
        <is>
          <t>Validación de campos obligatorios en envío</t>
        </is>
      </c>
      <c r="D13" s="5" t="inlineStr">
        <is>
          <t>Ítem en carrito</t>
        </is>
      </c>
      <c r="E13" s="5" t="inlineStr">
        <is>
          <t>1. Ir a /checkout-step-one.html
2. Dejar Código Postal vacío
3. Clic Continue</t>
        </is>
      </c>
      <c r="F13" s="5" t="inlineStr">
        <is>
          <t>Mensaje de error: 'Error: Postal Code is required'</t>
        </is>
      </c>
      <c r="G13" s="4" t="inlineStr">
        <is>
          <t>FAILED</t>
        </is>
      </c>
      <c r="H13" s="4" t="inlineStr">
        <is>
          <t>QA Manual</t>
        </is>
      </c>
      <c r="I13" s="4" t="inlineStr">
        <is>
          <t>2026-09-21</t>
        </is>
      </c>
    </row>
    <row r="14">
      <c r="A14" s="6" t="inlineStr">
        <is>
          <t>TC-010</t>
        </is>
      </c>
      <c r="B14" s="6" t="inlineStr">
        <is>
          <t>Checkout</t>
        </is>
      </c>
      <c r="C14" s="7" t="inlineStr">
        <is>
          <t>Cancelación de checkout</t>
        </is>
      </c>
      <c r="D14" s="7" t="inlineStr">
        <is>
          <t>En formulario de envío</t>
        </is>
      </c>
      <c r="E14" s="7" t="inlineStr">
        <is>
          <t>1. Clic en 'Cancel'</t>
        </is>
      </c>
      <c r="F14" s="7" t="inlineStr">
        <is>
          <t>Redirección de vuelta a /cart.html sin alterar datos</t>
        </is>
      </c>
      <c r="G14" s="6" t="inlineStr">
        <is>
          <t>PASSED</t>
        </is>
      </c>
      <c r="H14" s="6" t="inlineStr">
        <is>
          <t>QA Manual</t>
        </is>
      </c>
      <c r="I14" s="6" t="inlineStr">
        <is>
          <t>2026-09-21</t>
        </is>
      </c>
    </row>
    <row r="15">
      <c r="A15" s="4" t="inlineStr">
        <is>
          <t>TC-011</t>
        </is>
      </c>
      <c r="B15" s="4" t="inlineStr">
        <is>
          <t>UI / Móvil</t>
        </is>
      </c>
      <c r="C15" s="5" t="inlineStr">
        <is>
          <t>Alineación visual en resolución responsive</t>
        </is>
      </c>
      <c r="D15" s="5" t="inlineStr">
        <is>
          <t>Ancho de pantalla &lt; 768px</t>
        </is>
      </c>
      <c r="E15" s="5" t="inlineStr">
        <is>
          <t>1. Cambiar resolución a 375x812
2. Revisar header y menú</t>
        </is>
      </c>
      <c r="F15" s="5" t="inlineStr">
        <is>
          <t>Menú hamburguesa accesible y elementos sin superposición</t>
        </is>
      </c>
      <c r="G15" s="4" t="inlineStr">
        <is>
          <t>FAILED</t>
        </is>
      </c>
      <c r="H15" s="4" t="inlineStr">
        <is>
          <t>QA Manual</t>
        </is>
      </c>
      <c r="I15" s="4" t="inlineStr">
        <is>
          <t>2026-09-21</t>
        </is>
      </c>
    </row>
    <row r="16">
      <c r="A16" s="6" t="inlineStr">
        <is>
          <t>TC-012</t>
        </is>
      </c>
      <c r="B16" s="6" t="inlineStr">
        <is>
          <t>Rendimiento</t>
        </is>
      </c>
      <c r="C16" s="7" t="inlineStr">
        <is>
          <t>Carga de catálogo bajo conexión lenta</t>
        </is>
      </c>
      <c r="D16" s="7" t="inlineStr">
        <is>
          <t>Throttling 3G configurado</t>
        </is>
      </c>
      <c r="E16" s="7" t="inlineStr">
        <is>
          <t>1. Cargar /inventory.html</t>
        </is>
      </c>
      <c r="F16" s="7" t="inlineStr">
        <is>
          <t>Tiempo de carga total menor a 3.0 segundos</t>
        </is>
      </c>
      <c r="G16" s="6" t="inlineStr">
        <is>
          <t>BLOCKED</t>
        </is>
      </c>
      <c r="H16" s="6" t="inlineStr">
        <is>
          <t>QA Automation</t>
        </is>
      </c>
      <c r="I16" s="6" t="inlineStr">
        <is>
          <t>2026-09-21</t>
        </is>
      </c>
    </row>
  </sheetData>
  <conditionalFormatting sqref="G5:G2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0" customWidth="1" min="4" max="4"/>
    <col width="13" customWidth="1" min="5" max="5"/>
    <col width="13" customWidth="1" min="6" max="6"/>
    <col width="15" customWidth="1" min="7" max="7"/>
    <col width="17" customWidth="1" min="8" max="8"/>
    <col width="17" customWidth="1" min="9" max="9"/>
  </cols>
  <sheetData>
    <row r="1">
      <c r="A1" s="1" t="inlineStr">
        <is>
          <t>REGISTRO Y CONTROL DE DEFECTOS (BUG TRACKER)</t>
        </is>
      </c>
    </row>
    <row r="2">
      <c r="A2" s="2" t="inlineStr">
        <is>
          <t>Seguimiento de hallazgos, severidad y estado de resolución</t>
        </is>
      </c>
    </row>
    <row r="3"/>
    <row r="4">
      <c r="A4" s="3" t="inlineStr">
        <is>
          <t>ID Bug</t>
        </is>
      </c>
      <c r="B4" s="3" t="inlineStr">
        <is>
          <t>ID Caso</t>
        </is>
      </c>
      <c r="C4" s="3" t="inlineStr">
        <is>
          <t>Módulo</t>
        </is>
      </c>
      <c r="D4" s="3" t="inlineStr">
        <is>
          <t>Título / Descripción del Defecto</t>
        </is>
      </c>
      <c r="E4" s="3" t="inlineStr">
        <is>
          <t>Severidad</t>
        </is>
      </c>
      <c r="F4" s="3" t="inlineStr">
        <is>
          <t>Prioridad</t>
        </is>
      </c>
      <c r="G4" s="3" t="inlineStr">
        <is>
          <t>Estado Bug</t>
        </is>
      </c>
      <c r="H4" s="3" t="inlineStr">
        <is>
          <t>Asignado A</t>
        </is>
      </c>
      <c r="I4" s="3" t="inlineStr">
        <is>
          <t>Fecha Reporte</t>
        </is>
      </c>
    </row>
    <row r="5">
      <c r="A5" s="4" t="inlineStr">
        <is>
          <t>BUG-001</t>
        </is>
      </c>
      <c r="B5" s="4" t="inlineStr">
        <is>
          <t>TC-009</t>
        </is>
      </c>
      <c r="C5" s="4" t="inlineStr">
        <is>
          <t>Checkout</t>
        </is>
      </c>
      <c r="D5" s="5" t="inlineStr">
        <is>
          <t>Falta validación estricta de formato en campo Código Postal</t>
        </is>
      </c>
      <c r="E5" s="4" t="inlineStr">
        <is>
          <t>Mayor</t>
        </is>
      </c>
      <c r="F5" s="4" t="inlineStr">
        <is>
          <t>Media</t>
        </is>
      </c>
      <c r="G5" s="4" t="inlineStr">
        <is>
          <t>Abierto</t>
        </is>
      </c>
      <c r="H5" s="4" t="inlineStr">
        <is>
          <t>Dev Team</t>
        </is>
      </c>
      <c r="I5" s="4" t="inlineStr">
        <is>
          <t>2026-09-21</t>
        </is>
      </c>
    </row>
    <row r="6">
      <c r="A6" s="6" t="inlineStr">
        <is>
          <t>BUG-002</t>
        </is>
      </c>
      <c r="B6" s="6" t="inlineStr">
        <is>
          <t>TC-011</t>
        </is>
      </c>
      <c r="C6" s="6" t="inlineStr">
        <is>
          <t>UI / Móvil</t>
        </is>
      </c>
      <c r="D6" s="7" t="inlineStr">
        <is>
          <t>Superposición de ícono de carrito en resoluciones móviles (&lt;375px)</t>
        </is>
      </c>
      <c r="E6" s="6" t="inlineStr">
        <is>
          <t>Menor</t>
        </is>
      </c>
      <c r="F6" s="6" t="inlineStr">
        <is>
          <t>Baja</t>
        </is>
      </c>
      <c r="G6" s="6" t="inlineStr">
        <is>
          <t>En Progreso</t>
        </is>
      </c>
      <c r="H6" s="6" t="inlineStr">
        <is>
          <t>Frontend Lead</t>
        </is>
      </c>
      <c r="I6" s="6" t="inlineStr">
        <is>
          <t>2026-09-21</t>
        </is>
      </c>
    </row>
    <row r="7">
      <c r="A7" s="4" t="inlineStr">
        <is>
          <t>BUG-003</t>
        </is>
      </c>
      <c r="B7" s="4" t="inlineStr">
        <is>
          <t>TC-012</t>
        </is>
      </c>
      <c r="C7" s="4" t="inlineStr">
        <is>
          <t>Rendimiento</t>
        </is>
      </c>
      <c r="D7" s="5" t="inlineStr">
        <is>
          <t>Timeout al cargar imágenes de productos con alta latencia</t>
        </is>
      </c>
      <c r="E7" s="4" t="inlineStr">
        <is>
          <t>Mayor</t>
        </is>
      </c>
      <c r="F7" s="4" t="inlineStr">
        <is>
          <t>Alta</t>
        </is>
      </c>
      <c r="G7" s="4" t="inlineStr">
        <is>
          <t>Abierto</t>
        </is>
      </c>
      <c r="H7" s="4" t="inlineStr">
        <is>
          <t>DevOps</t>
        </is>
      </c>
      <c r="I7" s="4" t="inlineStr">
        <is>
          <t>2026-09-21</t>
        </is>
      </c>
    </row>
    <row r="8">
      <c r="A8" s="6" t="inlineStr">
        <is>
          <t>BUG-004</t>
        </is>
      </c>
      <c r="B8" s="6" t="inlineStr">
        <is>
          <t>TC-002</t>
        </is>
      </c>
      <c r="C8" s="6" t="inlineStr">
        <is>
          <t>Autenticación</t>
        </is>
      </c>
      <c r="D8" s="7" t="inlineStr">
        <is>
          <t>Estilo de texto desalineado en banner de error de login</t>
        </is>
      </c>
      <c r="E8" s="6" t="inlineStr">
        <is>
          <t>Menor</t>
        </is>
      </c>
      <c r="F8" s="6" t="inlineStr">
        <is>
          <t>Baja</t>
        </is>
      </c>
      <c r="G8" s="6" t="inlineStr">
        <is>
          <t>Cerrado</t>
        </is>
      </c>
      <c r="H8" s="6" t="inlineStr">
        <is>
          <t>Frontend Dev</t>
        </is>
      </c>
      <c r="I8" s="6" t="inlineStr">
        <is>
          <t>2026-09-20</t>
        </is>
      </c>
    </row>
  </sheetData>
  <conditionalFormatting sqref="E5:E10">
    <cfRule type="cellIs" priority="1" operator="equal" dxfId="1">
      <formula>"Bloqueante"</formula>
    </cfRule>
    <cfRule type="cellIs" priority="2" operator="equal" dxfId="2">
      <formula>"Mayor"</formula>
    </cfRule>
  </conditionalFormatting>
  <conditionalFormatting sqref="G5:G10">
    <cfRule type="cellIs" priority="3" operator="equal" dxfId="0">
      <formula>"Cerrado"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DASHBOARD DE EJECUCIÓN Y MÉTRICAS DE QA</t>
        </is>
      </c>
    </row>
    <row r="2">
      <c r="A2" s="2" t="inlineStr">
        <is>
          <t>Resumen ejecutivo del estado de pruebas y calidad del software</t>
        </is>
      </c>
    </row>
    <row r="3"/>
    <row r="4"/>
    <row r="5">
      <c r="A5" s="8" t="inlineStr">
        <is>
          <t>Métrica</t>
        </is>
      </c>
      <c r="B5" s="8" t="inlineStr">
        <is>
          <t>Valor</t>
        </is>
      </c>
      <c r="D5" s="8" t="inlineStr">
        <is>
          <t>Estado</t>
        </is>
      </c>
      <c r="E5" s="8" t="inlineStr">
        <is>
          <t>Cantidad</t>
        </is>
      </c>
    </row>
    <row r="6">
      <c r="A6" s="9" t="inlineStr">
        <is>
          <t>Total Casos de Prueba</t>
        </is>
      </c>
      <c r="B6" s="10">
        <f>COUNTA('Casos de Prueba'!A5:A16)</f>
        <v/>
      </c>
      <c r="D6" s="11" t="inlineStr">
        <is>
          <t>PASSED</t>
        </is>
      </c>
      <c r="E6" s="12">
        <f>COUNTIF('Casos de Prueba'!G5:G16, "PASSED")</f>
        <v/>
      </c>
    </row>
    <row r="7">
      <c r="A7" s="9" t="inlineStr">
        <is>
          <t>Pruebas Aprobadas (Passed)</t>
        </is>
      </c>
      <c r="B7" s="10">
        <f>COUNTIF('Casos de Prueba'!G5:G16, "PASSED")</f>
        <v/>
      </c>
      <c r="D7" s="11" t="inlineStr">
        <is>
          <t>FAILED</t>
        </is>
      </c>
      <c r="E7" s="12">
        <f>COUNTIF('Casos de Prueba'!G5:G16, "FAILED")</f>
        <v/>
      </c>
    </row>
    <row r="8">
      <c r="A8" s="9" t="inlineStr">
        <is>
          <t>Pruebas Fallidas (Failed)</t>
        </is>
      </c>
      <c r="B8" s="10">
        <f>COUNTIF('Casos de Prueba'!G5:G16, "FAILED")</f>
        <v/>
      </c>
      <c r="D8" s="11" t="inlineStr">
        <is>
          <t>BLOCKED</t>
        </is>
      </c>
      <c r="E8" s="12">
        <f>COUNTIF('Casos de Prueba'!G5:G16, "BLOCKED")</f>
        <v/>
      </c>
    </row>
    <row r="9">
      <c r="A9" s="9" t="inlineStr">
        <is>
          <t>Pruebas Bloqueadas (Blocked)</t>
        </is>
      </c>
      <c r="B9" s="10">
        <f>COUNTIF('Casos de Prueba'!G5:G16, "BLOCKED")</f>
        <v/>
      </c>
    </row>
    <row r="10">
      <c r="A10" s="9" t="inlineStr">
        <is>
          <t>% Cobertura / Éxito</t>
        </is>
      </c>
      <c r="B10" s="13">
        <f>B7/B6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2026-09-22T02:39:21Z</dcterms:created>
  <dcterms:modified xmlns:dcterms="http://purl.org/dc/terms/" xmlns:xsi="http://www.w3.org/2001/XMLSchema-instance" xsi:type="dcterms:W3CDTF">2026-09-22T02:39:21Z</dcterms:modified>
</cp:coreProperties>
</file>